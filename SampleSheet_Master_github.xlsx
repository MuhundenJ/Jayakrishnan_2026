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36doj/Desktop/mount/Hi_C/MicroC_Analyses/251202_Final/"/>
    </mc:Choice>
  </mc:AlternateContent>
  <xr:revisionPtr revIDLastSave="0" documentId="13_ncr:1_{BF6E7544-F96A-E14B-BB9B-B8860B130F1C}" xr6:coauthVersionLast="46" xr6:coauthVersionMax="46" xr10:uidLastSave="{00000000-0000-0000-0000-000000000000}"/>
  <bookViews>
    <workbookView xWindow="1880" yWindow="600" windowWidth="27640" windowHeight="16880" xr2:uid="{70250E4D-CA7B-9B4A-A520-7D3DD427D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K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2" i="1"/>
</calcChain>
</file>

<file path=xl/sharedStrings.xml><?xml version="1.0" encoding="utf-8"?>
<sst xmlns="http://schemas.openxmlformats.org/spreadsheetml/2006/main" count="348" uniqueCount="232">
  <si>
    <t>Experiment_Number</t>
  </si>
  <si>
    <t>Fastq</t>
  </si>
  <si>
    <t>CoolFile</t>
  </si>
  <si>
    <t>Description</t>
  </si>
  <si>
    <t>MC1</t>
  </si>
  <si>
    <t>Treatment_Condition</t>
  </si>
  <si>
    <t>Optimization_1</t>
  </si>
  <si>
    <t>Control</t>
  </si>
  <si>
    <t>Sample_Number</t>
  </si>
  <si>
    <t>MC5</t>
  </si>
  <si>
    <t>Optimization_2</t>
  </si>
  <si>
    <t>MJ26_1.fastq.gz</t>
  </si>
  <si>
    <t>MJ26_3.fastq.gz</t>
  </si>
  <si>
    <t>Library_Experiment_ID</t>
  </si>
  <si>
    <t>MC6</t>
  </si>
  <si>
    <t>RE_digestion_Rep1</t>
  </si>
  <si>
    <t>MJ27_1.fastq.gz</t>
  </si>
  <si>
    <t>MC7</t>
  </si>
  <si>
    <t>MC8</t>
  </si>
  <si>
    <t>MC9</t>
  </si>
  <si>
    <t>MC10</t>
  </si>
  <si>
    <t>RE_digestion_Rep2</t>
  </si>
  <si>
    <t>RE_digestion_Rep3</t>
  </si>
  <si>
    <t>AscI</t>
  </si>
  <si>
    <t>BsiWI</t>
  </si>
  <si>
    <t>SrfI</t>
  </si>
  <si>
    <t>MJ27_2.fastq.gz</t>
  </si>
  <si>
    <t>MJ27_3.fastq.gz</t>
  </si>
  <si>
    <t>MJ27_4.fastq.gz</t>
  </si>
  <si>
    <t>MJ26_4.fastq.gz</t>
  </si>
  <si>
    <t>MC5_1.mcool</t>
  </si>
  <si>
    <t>MC5_3.mcool</t>
  </si>
  <si>
    <t>MC6_4.mcool</t>
  </si>
  <si>
    <t>MC5_4.mcool</t>
  </si>
  <si>
    <t>MC6_1.mcool</t>
  </si>
  <si>
    <t>MC6_2.mcool</t>
  </si>
  <si>
    <t>MC6_3.mcool</t>
  </si>
  <si>
    <t>Groups</t>
  </si>
  <si>
    <t>SfiI</t>
  </si>
  <si>
    <t>GAF_addition_Rep1</t>
  </si>
  <si>
    <t>MJ29_1.fastq.gz</t>
  </si>
  <si>
    <t>MJ29_2.fastq.gz</t>
  </si>
  <si>
    <t>MJ29_3.fastq.gz</t>
  </si>
  <si>
    <t>MJ29_7.fastq.gz</t>
  </si>
  <si>
    <t>MC7_1.mcool</t>
  </si>
  <si>
    <t>MC7_2.mcool</t>
  </si>
  <si>
    <t>MC7_3.mcool</t>
  </si>
  <si>
    <t>MC7_7.mcool</t>
  </si>
  <si>
    <t>GAF_150nM_add</t>
  </si>
  <si>
    <t>GAF_addition_Rep2</t>
  </si>
  <si>
    <t>MC11_2L.fastq.gz</t>
  </si>
  <si>
    <t>GAF_30nM_add</t>
  </si>
  <si>
    <t>MC11_3L.fastq.gz</t>
  </si>
  <si>
    <t>MC11_4L.fastq.gz</t>
  </si>
  <si>
    <t>6hr_assembly</t>
  </si>
  <si>
    <t>MC11_8L.fastq.gz</t>
  </si>
  <si>
    <t>MC8_2.mcool</t>
  </si>
  <si>
    <t>MC8_3.mcool</t>
  </si>
  <si>
    <t>MC8_4.mcool</t>
  </si>
  <si>
    <t>MC8_8.mcool</t>
  </si>
  <si>
    <t>RE_digestion_Rep1, ATP_manipulation_rep1</t>
  </si>
  <si>
    <t>MC12_1L.fastq.gz</t>
  </si>
  <si>
    <t>MC11</t>
  </si>
  <si>
    <t>MC12</t>
  </si>
  <si>
    <t>ATP_manipulation_rep1</t>
  </si>
  <si>
    <t>Apyrase_6hrs</t>
  </si>
  <si>
    <t>ATP_restore</t>
  </si>
  <si>
    <t>FseI</t>
  </si>
  <si>
    <t>MC12_4L.fastq.gz</t>
  </si>
  <si>
    <t>MC12_5L.fastq.gz</t>
  </si>
  <si>
    <t>MC12_7L.fastq.gz</t>
  </si>
  <si>
    <t>MC9_1.mcool</t>
  </si>
  <si>
    <t>MC9_4.mcool</t>
  </si>
  <si>
    <t>MC9_5.mcool</t>
  </si>
  <si>
    <t>MC9_7.mcool</t>
  </si>
  <si>
    <t>Factor_depletion_Rep1</t>
  </si>
  <si>
    <t>MC13_1L.fastq.gz</t>
  </si>
  <si>
    <t>MC15</t>
  </si>
  <si>
    <t>Factor_depletion_Rep2</t>
  </si>
  <si>
    <t>Factor_depletion_Rep3</t>
  </si>
  <si>
    <t>IgG_depletion</t>
  </si>
  <si>
    <t>SuHW_depletion</t>
  </si>
  <si>
    <t>Smc1_depletion</t>
  </si>
  <si>
    <t>Rad21_depletion</t>
  </si>
  <si>
    <t>MC13_2L.fastq.gz</t>
  </si>
  <si>
    <t>MC13_3L.fastq.gz</t>
  </si>
  <si>
    <t>MC13_4L.fastq.gz</t>
  </si>
  <si>
    <t>MC10_1.mcool</t>
  </si>
  <si>
    <t>MC10_2.mcool</t>
  </si>
  <si>
    <t>MC10_3.mcool</t>
  </si>
  <si>
    <t>MC10_4.mcool</t>
  </si>
  <si>
    <t>MC14_1L.fastq.gz</t>
  </si>
  <si>
    <t>MC11_1.mcool</t>
  </si>
  <si>
    <t>MC14_2L.fastq.gz</t>
  </si>
  <si>
    <t>MC11_2.mcool</t>
  </si>
  <si>
    <t>MC14_4L.fastq.gz</t>
  </si>
  <si>
    <t>MC11_4.mcool</t>
  </si>
  <si>
    <t>MC14_5L.fastq.gz</t>
  </si>
  <si>
    <t>MC11_5.mcool</t>
  </si>
  <si>
    <t>MC14_6L.fastq.gz</t>
  </si>
  <si>
    <t>MC11_6.mcool</t>
  </si>
  <si>
    <t>Abf1_Addition_Rep1</t>
  </si>
  <si>
    <t>MC14_7L.fastq.gz</t>
  </si>
  <si>
    <t>MC11_7.mcool</t>
  </si>
  <si>
    <t>Abf1_50nM_add</t>
  </si>
  <si>
    <t>MC14_8L.fastq.gz</t>
  </si>
  <si>
    <t>MC11_8.mcool</t>
  </si>
  <si>
    <t>MC15_2L.fastq.gz</t>
  </si>
  <si>
    <t>MC12_2.mcool</t>
  </si>
  <si>
    <t>MC15_3L.fastq.gz</t>
  </si>
  <si>
    <t>MC12_3.mcool</t>
  </si>
  <si>
    <t>MC15_4L.fastq.gz</t>
  </si>
  <si>
    <t>MC12_4.mcool</t>
  </si>
  <si>
    <t>MC15_6L.fastq.gz</t>
  </si>
  <si>
    <t>MC12_6.mcool</t>
  </si>
  <si>
    <t>SuHW_partial50_depletion</t>
  </si>
  <si>
    <t>Optimization_3</t>
  </si>
  <si>
    <t>MJ41_1.fastq.gz</t>
  </si>
  <si>
    <t>MC15_1.mcool</t>
  </si>
  <si>
    <t>Control_1</t>
  </si>
  <si>
    <t>Control_2</t>
  </si>
  <si>
    <t>MJ41_2.fastq.gz</t>
  </si>
  <si>
    <t>MC15_2.mcool</t>
  </si>
  <si>
    <t>MC16</t>
  </si>
  <si>
    <t>Factor_depletion_Rep3, ATP_manipulation_rep2</t>
  </si>
  <si>
    <t>MC16_1.mcool</t>
  </si>
  <si>
    <t>MC19_1L.fastq.gz</t>
  </si>
  <si>
    <t>MC16_4.mcool</t>
  </si>
  <si>
    <t>MC19_4L.fastq.gz</t>
  </si>
  <si>
    <t>MC19_2L.fastq.gz</t>
  </si>
  <si>
    <t>MC16_2.mcool</t>
  </si>
  <si>
    <t>MC19_3L.fastq.gz</t>
  </si>
  <si>
    <t>MC16_3.mcool</t>
  </si>
  <si>
    <t>MC19_6L.fastq.gz</t>
  </si>
  <si>
    <t>MC16_6.mcool</t>
  </si>
  <si>
    <t>MC19_7L.fastq.gz</t>
  </si>
  <si>
    <t>MC16_7.mcool</t>
  </si>
  <si>
    <t>MC17</t>
  </si>
  <si>
    <t>ATP_manipulation_rep2</t>
  </si>
  <si>
    <t>MC201_1L.fastq.gz</t>
  </si>
  <si>
    <t>ATP_manipulation_rep3</t>
  </si>
  <si>
    <t>MC201_2L.fastq.gz</t>
  </si>
  <si>
    <t>ActD</t>
  </si>
  <si>
    <t>MC201_3L.fastq.gz</t>
  </si>
  <si>
    <t>MC201_4L.fastq.gz</t>
  </si>
  <si>
    <t>Optimization_4</t>
  </si>
  <si>
    <t>MC201_6L.fastq.gz</t>
  </si>
  <si>
    <t>MC201_7L.fastq.gz</t>
  </si>
  <si>
    <t>MC201_11L.fastq.gz</t>
  </si>
  <si>
    <t>MC201_12L.fastq.gz</t>
  </si>
  <si>
    <t>MC201_13L.fastq.gz</t>
  </si>
  <si>
    <t>MC201_14L.fastq.gz</t>
  </si>
  <si>
    <t>MC1_5.mcool</t>
  </si>
  <si>
    <t>MC1_6.mcool</t>
  </si>
  <si>
    <t>trimmed_MJ21_5.fastq.gz</t>
  </si>
  <si>
    <t>MNaseSeq_fileName</t>
  </si>
  <si>
    <t>Note that for MC7, the digestions have independent numbers and not D,L system</t>
  </si>
  <si>
    <t>Use the trimmed versions for MicroC</t>
  </si>
  <si>
    <t>Note for MC6 expt, the digestions were sequenced on a separate run so they have a different sequencing index (MJ28 instead of MJ27)</t>
  </si>
  <si>
    <t>Note that for MC5, the digestions have independent numbers and not D,L system</t>
  </si>
  <si>
    <t>trimmed_MJ21_6.fastq.gz</t>
  </si>
  <si>
    <t>MJ26_5</t>
  </si>
  <si>
    <t>MJ28_1</t>
  </si>
  <si>
    <t>MJ28_2</t>
  </si>
  <si>
    <t>MJ28_3</t>
  </si>
  <si>
    <t>MJ28_4</t>
  </si>
  <si>
    <t>MJ29_8</t>
  </si>
  <si>
    <t>MJ29_9</t>
  </si>
  <si>
    <t>MJ29_10</t>
  </si>
  <si>
    <t>MJ29_14</t>
  </si>
  <si>
    <t>MC11_2D</t>
  </si>
  <si>
    <t>MC11_3D</t>
  </si>
  <si>
    <t>MC11_4D</t>
  </si>
  <si>
    <t>MC11_8D</t>
  </si>
  <si>
    <t>MC12_1D</t>
  </si>
  <si>
    <t>MC12_4D</t>
  </si>
  <si>
    <t>MC12_5D</t>
  </si>
  <si>
    <t>MC12_7D</t>
  </si>
  <si>
    <t>MC13_1D</t>
  </si>
  <si>
    <t>MC13_2D</t>
  </si>
  <si>
    <t>MC13_3D</t>
  </si>
  <si>
    <t>MC13_4D</t>
  </si>
  <si>
    <t>MC14_1D</t>
  </si>
  <si>
    <t>MC14_2D</t>
  </si>
  <si>
    <t>MC14_4D</t>
  </si>
  <si>
    <t>MC14_5D</t>
  </si>
  <si>
    <t>MC14_6D</t>
  </si>
  <si>
    <t>MC14_7D</t>
  </si>
  <si>
    <t>MC14_8D</t>
  </si>
  <si>
    <t>MC15_2D</t>
  </si>
  <si>
    <t>MC15_3D</t>
  </si>
  <si>
    <t>MC15_4D</t>
  </si>
  <si>
    <t>MC15_6D</t>
  </si>
  <si>
    <t>MC19_1D</t>
  </si>
  <si>
    <t>MC19_2D</t>
  </si>
  <si>
    <t>MC19_3D</t>
  </si>
  <si>
    <t>MC19_4D</t>
  </si>
  <si>
    <t>MC19_6D</t>
  </si>
  <si>
    <t>MC19_7D</t>
  </si>
  <si>
    <t>MC201_1D</t>
  </si>
  <si>
    <t>MC201_2D</t>
  </si>
  <si>
    <t>MC201_3D</t>
  </si>
  <si>
    <t>MC201_4D</t>
  </si>
  <si>
    <t>MC201_6D</t>
  </si>
  <si>
    <t>MC201_7D</t>
  </si>
  <si>
    <t>MC201_11D</t>
  </si>
  <si>
    <t>MC201_12D</t>
  </si>
  <si>
    <t>MC201_13D</t>
  </si>
  <si>
    <t>MC201_14D</t>
  </si>
  <si>
    <t>ControlPooled</t>
  </si>
  <si>
    <t>ControlPooled.fastq.gz</t>
  </si>
  <si>
    <t>ControlPooled.mcool</t>
  </si>
  <si>
    <t>MC17_1.mcool</t>
  </si>
  <si>
    <t>MC17_2.mcool</t>
  </si>
  <si>
    <t>MC17_3.mcool</t>
  </si>
  <si>
    <t>MC17_4.mcool</t>
  </si>
  <si>
    <t>MC17_6.mcool</t>
  </si>
  <si>
    <t>MC17_7.mcool</t>
  </si>
  <si>
    <t>MC17_11.mcool</t>
  </si>
  <si>
    <t>MC17_12.mcool</t>
  </si>
  <si>
    <t>MC17_13.mcool</t>
  </si>
  <si>
    <t>MC17_14.mcool</t>
  </si>
  <si>
    <t>Transcriptional_Inhibition_Rep2</t>
  </si>
  <si>
    <t>Transcriptional_Inhibition_Rep1</t>
  </si>
  <si>
    <t>RE_digestion_Rep3; Factor_depletion_Rep4, ATP_manipulation_rep3, Transcriptional_Inhibition_Rep1</t>
  </si>
  <si>
    <t>RE_digestion_Rep3; Factor_depletion_Rep4, Transcriptional_Inhibition_Rep2</t>
  </si>
  <si>
    <t>MC17b</t>
  </si>
  <si>
    <t>LibraryName_GEO</t>
  </si>
  <si>
    <t>MNaseSeq_Fastq_read1</t>
  </si>
  <si>
    <t>MNase_Processed1</t>
  </si>
  <si>
    <t>MNase_Processed2</t>
  </si>
  <si>
    <t>MicroC_Fastq_read1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</si>
</sst>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3956-61FB-344B-B922-031AE2C9937B}">
  <dimension ref="A1:N56"/>
  <sheetViews>
    <sheetView tabSelected="1" zoomScale="71" zoomScaleNormal="71" workbookViewId="0">
      <selection activeCell="A27" sqref="A27:XFD28"/>
    </sheetView>
  </sheetViews>
  <sheetFormatPr baseColWidth="10" defaultRowHeight="16" x14ac:dyDescent="0.2"/>
  <cols>
    <col min="1" max="1" width="21.83203125" customWidth="1"/>
    <col min="2" max="2" width="24.5" customWidth="1"/>
    <col min="3" max="3" width="18" customWidth="1"/>
    <col min="4" max="4" width="44.33203125" customWidth="1"/>
    <col min="5" max="5" width="18.6640625" customWidth="1"/>
    <col min="6" max="6" width="19.1640625" customWidth="1"/>
    <col min="7" max="7" width="17.6640625" customWidth="1"/>
    <col min="8" max="8" width="22.5" customWidth="1"/>
    <col min="9" max="9" width="118.5" customWidth="1"/>
    <col min="10" max="10" width="106.83203125" customWidth="1"/>
    <col min="11" max="11" width="37.33203125" customWidth="1"/>
    <col min="12" max="12" width="33.33203125" customWidth="1"/>
    <col min="13" max="13" width="47.33203125" customWidth="1"/>
    <col min="14" max="14" width="47.1640625" customWidth="1"/>
  </cols>
  <sheetData>
    <row r="1" spans="1:14" x14ac:dyDescent="0.2">
      <c r="A1" t="s">
        <v>0</v>
      </c>
      <c r="B1" t="s">
        <v>13</v>
      </c>
      <c r="C1" t="s">
        <v>8</v>
      </c>
      <c r="D1" t="s">
        <v>37</v>
      </c>
      <c r="E1" t="s">
        <v>5</v>
      </c>
      <c r="F1" t="s">
        <v>1</v>
      </c>
      <c r="G1" t="s">
        <v>2</v>
      </c>
      <c r="H1" t="s">
        <v>155</v>
      </c>
      <c r="I1" t="s">
        <v>3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</row>
    <row r="2" spans="1:14" x14ac:dyDescent="0.2">
      <c r="A2">
        <v>1</v>
      </c>
      <c r="B2" t="s">
        <v>4</v>
      </c>
      <c r="C2">
        <v>1</v>
      </c>
      <c r="D2" t="s">
        <v>6</v>
      </c>
      <c r="E2" t="s">
        <v>7</v>
      </c>
      <c r="F2" t="s">
        <v>154</v>
      </c>
      <c r="G2" t="s">
        <v>152</v>
      </c>
      <c r="I2" t="s">
        <v>157</v>
      </c>
      <c r="J2" t="str">
        <f>E2 &amp; "; " &amp; D2 &amp; "; " &amp; "ExpID: " &amp; B2 &amp; "; " &amp; "SampleNo: " &amp; C2</f>
        <v>Control; Optimization_1; ExpID: MC1; SampleNo: 1</v>
      </c>
      <c r="K2" t="str">
        <f>"read1_" &amp; H2 &amp; ".fastq.gz.fastqsanger.gz"</f>
        <v>read1_.fastq.gz.fastqsanger.gz</v>
      </c>
      <c r="L2" t="str">
        <f>H2 &amp; "_ranges_copyNorm.bw"</f>
        <v>_ranges_copyNorm.bw</v>
      </c>
      <c r="M2" t="str">
        <f>H2 &amp; "_ranges_dyadCov_spec_Zscore179.wig"</f>
        <v>_ranges_dyadCov_spec_Zscore179.wig</v>
      </c>
      <c r="N2" t="str">
        <f>"read1_" &amp; F2</f>
        <v>read1_trimmed_MJ21_5.fastq.gz</v>
      </c>
    </row>
    <row r="3" spans="1:14" x14ac:dyDescent="0.2">
      <c r="A3">
        <v>1</v>
      </c>
      <c r="B3" t="s">
        <v>4</v>
      </c>
      <c r="C3">
        <v>2</v>
      </c>
      <c r="D3" t="s">
        <v>6</v>
      </c>
      <c r="E3" t="s">
        <v>7</v>
      </c>
      <c r="F3" t="s">
        <v>160</v>
      </c>
      <c r="G3" t="s">
        <v>153</v>
      </c>
      <c r="I3" t="s">
        <v>157</v>
      </c>
      <c r="J3" t="str">
        <f t="shared" ref="J3:J56" si="0">E3 &amp; "; " &amp; D3 &amp; "; " &amp; "ExpID: " &amp; B3 &amp; "; " &amp; "SampleNo: " &amp; C3</f>
        <v>Control; Optimization_1; ExpID: MC1; SampleNo: 2</v>
      </c>
      <c r="K3" t="str">
        <f t="shared" ref="K3:K56" si="1">"read1_" &amp; H3 &amp; ".fastq.gz.fastqsanger.gz"</f>
        <v>read1_.fastq.gz.fastqsanger.gz</v>
      </c>
      <c r="L3" t="str">
        <f t="shared" ref="L3:L56" si="2">H3 &amp; "_ranges_copyNorm.bw"</f>
        <v>_ranges_copyNorm.bw</v>
      </c>
      <c r="M3" t="str">
        <f t="shared" ref="M3:M56" si="3">H3 &amp; "_ranges_dyadCov_spec_Zscore179.wig"</f>
        <v>_ranges_dyadCov_spec_Zscore179.wig</v>
      </c>
      <c r="N3" t="str">
        <f t="shared" ref="N3:N56" si="4">"read1_" &amp; F3</f>
        <v>read1_trimmed_MJ21_6.fastq.gz</v>
      </c>
    </row>
    <row r="4" spans="1:14" x14ac:dyDescent="0.2">
      <c r="A4">
        <v>2</v>
      </c>
      <c r="B4" t="s">
        <v>9</v>
      </c>
      <c r="C4">
        <v>1</v>
      </c>
      <c r="D4" t="s">
        <v>10</v>
      </c>
      <c r="E4" t="s">
        <v>7</v>
      </c>
      <c r="F4" t="s">
        <v>11</v>
      </c>
      <c r="G4" t="s">
        <v>30</v>
      </c>
      <c r="H4" t="s">
        <v>161</v>
      </c>
      <c r="I4" t="s">
        <v>159</v>
      </c>
      <c r="J4" t="str">
        <f t="shared" si="0"/>
        <v>Control; Optimization_2; ExpID: MC5; SampleNo: 1</v>
      </c>
      <c r="K4" t="str">
        <f t="shared" si="1"/>
        <v>read1_MJ26_5.fastq.gz.fastqsanger.gz</v>
      </c>
      <c r="L4" t="str">
        <f t="shared" si="2"/>
        <v>MJ26_5_ranges_copyNorm.bw</v>
      </c>
      <c r="M4" t="str">
        <f t="shared" si="3"/>
        <v>MJ26_5_ranges_dyadCov_spec_Zscore179.wig</v>
      </c>
      <c r="N4" t="str">
        <f t="shared" si="4"/>
        <v>read1_MJ26_1.fastq.gz</v>
      </c>
    </row>
    <row r="5" spans="1:14" x14ac:dyDescent="0.2">
      <c r="A5">
        <v>2</v>
      </c>
      <c r="B5" t="s">
        <v>9</v>
      </c>
      <c r="C5">
        <v>2</v>
      </c>
      <c r="D5" t="s">
        <v>10</v>
      </c>
      <c r="E5" t="s">
        <v>7</v>
      </c>
      <c r="F5" t="s">
        <v>12</v>
      </c>
      <c r="G5" t="s">
        <v>31</v>
      </c>
      <c r="J5" t="str">
        <f t="shared" si="0"/>
        <v>Control; Optimization_2; ExpID: MC5; SampleNo: 2</v>
      </c>
      <c r="K5" t="str">
        <f t="shared" si="1"/>
        <v>read1_.fastq.gz.fastqsanger.gz</v>
      </c>
      <c r="L5" t="str">
        <f t="shared" si="2"/>
        <v>_ranges_copyNorm.bw</v>
      </c>
      <c r="M5" t="str">
        <f t="shared" si="3"/>
        <v>_ranges_dyadCov_spec_Zscore179.wig</v>
      </c>
      <c r="N5" t="str">
        <f t="shared" si="4"/>
        <v>read1_MJ26_3.fastq.gz</v>
      </c>
    </row>
    <row r="6" spans="1:14" x14ac:dyDescent="0.2">
      <c r="A6">
        <v>2</v>
      </c>
      <c r="B6" t="s">
        <v>9</v>
      </c>
      <c r="C6">
        <v>3</v>
      </c>
      <c r="D6" t="s">
        <v>10</v>
      </c>
      <c r="E6" t="s">
        <v>7</v>
      </c>
      <c r="F6" t="s">
        <v>29</v>
      </c>
      <c r="G6" t="s">
        <v>33</v>
      </c>
      <c r="I6" s="1"/>
      <c r="J6" t="str">
        <f t="shared" si="0"/>
        <v>Control; Optimization_2; ExpID: MC5; SampleNo: 3</v>
      </c>
      <c r="K6" t="str">
        <f t="shared" si="1"/>
        <v>read1_.fastq.gz.fastqsanger.gz</v>
      </c>
      <c r="L6" t="str">
        <f t="shared" si="2"/>
        <v>_ranges_copyNorm.bw</v>
      </c>
      <c r="M6" t="str">
        <f t="shared" si="3"/>
        <v>_ranges_dyadCov_spec_Zscore179.wig</v>
      </c>
      <c r="N6" t="str">
        <f t="shared" si="4"/>
        <v>read1_MJ26_4.fastq.gz</v>
      </c>
    </row>
    <row r="7" spans="1:14" x14ac:dyDescent="0.2">
      <c r="A7">
        <v>3</v>
      </c>
      <c r="B7" t="s">
        <v>14</v>
      </c>
      <c r="C7">
        <v>1</v>
      </c>
      <c r="D7" t="s">
        <v>15</v>
      </c>
      <c r="E7" t="s">
        <v>7</v>
      </c>
      <c r="F7" t="s">
        <v>16</v>
      </c>
      <c r="G7" t="s">
        <v>34</v>
      </c>
      <c r="H7" t="s">
        <v>162</v>
      </c>
      <c r="I7" t="s">
        <v>158</v>
      </c>
      <c r="J7" t="str">
        <f t="shared" si="0"/>
        <v>Control; RE_digestion_Rep1; ExpID: MC6; SampleNo: 1</v>
      </c>
      <c r="K7" t="str">
        <f t="shared" si="1"/>
        <v>read1_MJ28_1.fastq.gz.fastqsanger.gz</v>
      </c>
      <c r="L7" t="str">
        <f t="shared" si="2"/>
        <v>MJ28_1_ranges_copyNorm.bw</v>
      </c>
      <c r="M7" t="str">
        <f t="shared" si="3"/>
        <v>MJ28_1_ranges_dyadCov_spec_Zscore179.wig</v>
      </c>
      <c r="N7" t="str">
        <f t="shared" si="4"/>
        <v>read1_MJ27_1.fastq.gz</v>
      </c>
    </row>
    <row r="8" spans="1:14" x14ac:dyDescent="0.2">
      <c r="A8">
        <v>3</v>
      </c>
      <c r="B8" t="s">
        <v>14</v>
      </c>
      <c r="C8">
        <v>2</v>
      </c>
      <c r="D8" t="s">
        <v>15</v>
      </c>
      <c r="E8" t="s">
        <v>23</v>
      </c>
      <c r="F8" t="s">
        <v>26</v>
      </c>
      <c r="G8" t="s">
        <v>35</v>
      </c>
      <c r="H8" t="s">
        <v>163</v>
      </c>
      <c r="I8" t="s">
        <v>158</v>
      </c>
      <c r="J8" t="str">
        <f t="shared" si="0"/>
        <v>AscI; RE_digestion_Rep1; ExpID: MC6; SampleNo: 2</v>
      </c>
      <c r="K8" t="str">
        <f t="shared" si="1"/>
        <v>read1_MJ28_2.fastq.gz.fastqsanger.gz</v>
      </c>
      <c r="L8" t="str">
        <f t="shared" si="2"/>
        <v>MJ28_2_ranges_copyNorm.bw</v>
      </c>
      <c r="M8" t="str">
        <f t="shared" si="3"/>
        <v>MJ28_2_ranges_dyadCov_spec_Zscore179.wig</v>
      </c>
      <c r="N8" t="str">
        <f t="shared" si="4"/>
        <v>read1_MJ27_2.fastq.gz</v>
      </c>
    </row>
    <row r="9" spans="1:14" x14ac:dyDescent="0.2">
      <c r="A9">
        <v>3</v>
      </c>
      <c r="B9" t="s">
        <v>14</v>
      </c>
      <c r="C9">
        <v>3</v>
      </c>
      <c r="D9" t="s">
        <v>15</v>
      </c>
      <c r="E9" t="s">
        <v>24</v>
      </c>
      <c r="F9" t="s">
        <v>27</v>
      </c>
      <c r="G9" t="s">
        <v>36</v>
      </c>
      <c r="H9" t="s">
        <v>164</v>
      </c>
      <c r="I9" t="s">
        <v>158</v>
      </c>
      <c r="J9" t="str">
        <f t="shared" si="0"/>
        <v>BsiWI; RE_digestion_Rep1; ExpID: MC6; SampleNo: 3</v>
      </c>
      <c r="K9" t="str">
        <f t="shared" si="1"/>
        <v>read1_MJ28_3.fastq.gz.fastqsanger.gz</v>
      </c>
      <c r="L9" t="str">
        <f t="shared" si="2"/>
        <v>MJ28_3_ranges_copyNorm.bw</v>
      </c>
      <c r="M9" t="str">
        <f t="shared" si="3"/>
        <v>MJ28_3_ranges_dyadCov_spec_Zscore179.wig</v>
      </c>
      <c r="N9" t="str">
        <f t="shared" si="4"/>
        <v>read1_MJ27_3.fastq.gz</v>
      </c>
    </row>
    <row r="10" spans="1:14" x14ac:dyDescent="0.2">
      <c r="A10">
        <v>3</v>
      </c>
      <c r="B10" t="s">
        <v>14</v>
      </c>
      <c r="C10">
        <v>4</v>
      </c>
      <c r="D10" t="s">
        <v>15</v>
      </c>
      <c r="E10" t="s">
        <v>25</v>
      </c>
      <c r="F10" t="s">
        <v>28</v>
      </c>
      <c r="G10" t="s">
        <v>32</v>
      </c>
      <c r="H10" t="s">
        <v>165</v>
      </c>
      <c r="I10" t="s">
        <v>158</v>
      </c>
      <c r="J10" t="str">
        <f t="shared" si="0"/>
        <v>SrfI; RE_digestion_Rep1; ExpID: MC6; SampleNo: 4</v>
      </c>
      <c r="K10" t="str">
        <f t="shared" si="1"/>
        <v>read1_MJ28_4.fastq.gz.fastqsanger.gz</v>
      </c>
      <c r="L10" t="str">
        <f t="shared" si="2"/>
        <v>MJ28_4_ranges_copyNorm.bw</v>
      </c>
      <c r="M10" t="str">
        <f t="shared" si="3"/>
        <v>MJ28_4_ranges_dyadCov_spec_Zscore179.wig</v>
      </c>
      <c r="N10" t="str">
        <f t="shared" si="4"/>
        <v>read1_MJ27_4.fastq.gz</v>
      </c>
    </row>
    <row r="11" spans="1:14" x14ac:dyDescent="0.2">
      <c r="A11">
        <v>4</v>
      </c>
      <c r="B11" t="s">
        <v>17</v>
      </c>
      <c r="C11">
        <v>1</v>
      </c>
      <c r="D11" t="s">
        <v>39</v>
      </c>
      <c r="E11" t="s">
        <v>7</v>
      </c>
      <c r="F11" t="s">
        <v>40</v>
      </c>
      <c r="G11" t="s">
        <v>44</v>
      </c>
      <c r="H11" t="s">
        <v>166</v>
      </c>
      <c r="I11" t="s">
        <v>156</v>
      </c>
      <c r="J11" t="str">
        <f t="shared" si="0"/>
        <v>Control; GAF_addition_Rep1; ExpID: MC7; SampleNo: 1</v>
      </c>
      <c r="K11" t="str">
        <f t="shared" si="1"/>
        <v>read1_MJ29_8.fastq.gz.fastqsanger.gz</v>
      </c>
      <c r="L11" t="str">
        <f t="shared" si="2"/>
        <v>MJ29_8_ranges_copyNorm.bw</v>
      </c>
      <c r="M11" t="str">
        <f t="shared" si="3"/>
        <v>MJ29_8_ranges_dyadCov_spec_Zscore179.wig</v>
      </c>
      <c r="N11" t="str">
        <f t="shared" si="4"/>
        <v>read1_MJ29_1.fastq.gz</v>
      </c>
    </row>
    <row r="12" spans="1:14" x14ac:dyDescent="0.2">
      <c r="A12">
        <v>4</v>
      </c>
      <c r="B12" t="s">
        <v>17</v>
      </c>
      <c r="C12">
        <v>2</v>
      </c>
      <c r="D12" t="s">
        <v>15</v>
      </c>
      <c r="E12" t="s">
        <v>7</v>
      </c>
      <c r="F12" t="s">
        <v>41</v>
      </c>
      <c r="G12" t="s">
        <v>45</v>
      </c>
      <c r="H12" t="s">
        <v>167</v>
      </c>
      <c r="I12" t="s">
        <v>156</v>
      </c>
      <c r="J12" t="str">
        <f t="shared" si="0"/>
        <v>Control; RE_digestion_Rep1; ExpID: MC7; SampleNo: 2</v>
      </c>
      <c r="K12" t="str">
        <f t="shared" si="1"/>
        <v>read1_MJ29_9.fastq.gz.fastqsanger.gz</v>
      </c>
      <c r="L12" t="str">
        <f t="shared" si="2"/>
        <v>MJ29_9_ranges_copyNorm.bw</v>
      </c>
      <c r="M12" t="str">
        <f t="shared" si="3"/>
        <v>MJ29_9_ranges_dyadCov_spec_Zscore179.wig</v>
      </c>
      <c r="N12" t="str">
        <f t="shared" si="4"/>
        <v>read1_MJ29_2.fastq.gz</v>
      </c>
    </row>
    <row r="13" spans="1:14" x14ac:dyDescent="0.2">
      <c r="A13">
        <v>4</v>
      </c>
      <c r="B13" t="s">
        <v>17</v>
      </c>
      <c r="C13">
        <v>3</v>
      </c>
      <c r="D13" t="s">
        <v>15</v>
      </c>
      <c r="E13" t="s">
        <v>38</v>
      </c>
      <c r="F13" t="s">
        <v>42</v>
      </c>
      <c r="G13" t="s">
        <v>46</v>
      </c>
      <c r="H13" t="s">
        <v>168</v>
      </c>
      <c r="I13" t="s">
        <v>156</v>
      </c>
      <c r="J13" t="str">
        <f t="shared" si="0"/>
        <v>SfiI; RE_digestion_Rep1; ExpID: MC7; SampleNo: 3</v>
      </c>
      <c r="K13" t="str">
        <f t="shared" si="1"/>
        <v>read1_MJ29_10.fastq.gz.fastqsanger.gz</v>
      </c>
      <c r="L13" t="str">
        <f t="shared" si="2"/>
        <v>MJ29_10_ranges_copyNorm.bw</v>
      </c>
      <c r="M13" t="str">
        <f t="shared" si="3"/>
        <v>MJ29_10_ranges_dyadCov_spec_Zscore179.wig</v>
      </c>
      <c r="N13" t="str">
        <f t="shared" si="4"/>
        <v>read1_MJ29_3.fastq.gz</v>
      </c>
    </row>
    <row r="14" spans="1:14" x14ac:dyDescent="0.2">
      <c r="A14">
        <v>4</v>
      </c>
      <c r="B14" t="s">
        <v>17</v>
      </c>
      <c r="C14">
        <v>4</v>
      </c>
      <c r="D14" t="s">
        <v>39</v>
      </c>
      <c r="E14" t="s">
        <v>48</v>
      </c>
      <c r="F14" t="s">
        <v>43</v>
      </c>
      <c r="G14" t="s">
        <v>47</v>
      </c>
      <c r="H14" t="s">
        <v>169</v>
      </c>
      <c r="I14" t="s">
        <v>156</v>
      </c>
      <c r="J14" t="str">
        <f t="shared" si="0"/>
        <v>GAF_150nM_add; GAF_addition_Rep1; ExpID: MC7; SampleNo: 4</v>
      </c>
      <c r="K14" t="str">
        <f t="shared" si="1"/>
        <v>read1_MJ29_14.fastq.gz.fastqsanger.gz</v>
      </c>
      <c r="L14" t="str">
        <f t="shared" si="2"/>
        <v>MJ29_14_ranges_copyNorm.bw</v>
      </c>
      <c r="M14" t="str">
        <f t="shared" si="3"/>
        <v>MJ29_14_ranges_dyadCov_spec_Zscore179.wig</v>
      </c>
      <c r="N14" t="str">
        <f t="shared" si="4"/>
        <v>read1_MJ29_7.fastq.gz</v>
      </c>
    </row>
    <row r="15" spans="1:14" x14ac:dyDescent="0.2">
      <c r="A15">
        <v>5</v>
      </c>
      <c r="B15" t="s">
        <v>18</v>
      </c>
      <c r="C15">
        <v>1</v>
      </c>
      <c r="D15" t="s">
        <v>49</v>
      </c>
      <c r="E15" t="s">
        <v>7</v>
      </c>
      <c r="F15" t="s">
        <v>50</v>
      </c>
      <c r="G15" t="s">
        <v>56</v>
      </c>
      <c r="H15" t="s">
        <v>170</v>
      </c>
      <c r="J15" t="str">
        <f t="shared" si="0"/>
        <v>Control; GAF_addition_Rep2; ExpID: MC8; SampleNo: 1</v>
      </c>
      <c r="K15" t="str">
        <f t="shared" si="1"/>
        <v>read1_MC11_2D.fastq.gz.fastqsanger.gz</v>
      </c>
      <c r="L15" t="str">
        <f t="shared" si="2"/>
        <v>MC11_2D_ranges_copyNorm.bw</v>
      </c>
      <c r="M15" t="str">
        <f t="shared" si="3"/>
        <v>MC11_2D_ranges_dyadCov_spec_Zscore179.wig</v>
      </c>
      <c r="N15" t="str">
        <f t="shared" si="4"/>
        <v>read1_MC11_2L.fastq.gz</v>
      </c>
    </row>
    <row r="16" spans="1:14" x14ac:dyDescent="0.2">
      <c r="A16">
        <v>5</v>
      </c>
      <c r="B16" t="s">
        <v>18</v>
      </c>
      <c r="C16">
        <v>2</v>
      </c>
      <c r="D16" t="s">
        <v>49</v>
      </c>
      <c r="E16" t="s">
        <v>51</v>
      </c>
      <c r="F16" t="s">
        <v>52</v>
      </c>
      <c r="G16" t="s">
        <v>57</v>
      </c>
      <c r="H16" t="s">
        <v>171</v>
      </c>
      <c r="J16" t="str">
        <f t="shared" si="0"/>
        <v>GAF_30nM_add; GAF_addition_Rep2; ExpID: MC8; SampleNo: 2</v>
      </c>
      <c r="K16" t="str">
        <f t="shared" si="1"/>
        <v>read1_MC11_3D.fastq.gz.fastqsanger.gz</v>
      </c>
      <c r="L16" t="str">
        <f t="shared" si="2"/>
        <v>MC11_3D_ranges_copyNorm.bw</v>
      </c>
      <c r="M16" t="str">
        <f t="shared" si="3"/>
        <v>MC11_3D_ranges_dyadCov_spec_Zscore179.wig</v>
      </c>
      <c r="N16" t="str">
        <f t="shared" si="4"/>
        <v>read1_MC11_3L.fastq.gz</v>
      </c>
    </row>
    <row r="17" spans="1:14" x14ac:dyDescent="0.2">
      <c r="A17">
        <v>5</v>
      </c>
      <c r="B17" t="s">
        <v>18</v>
      </c>
      <c r="C17">
        <v>3</v>
      </c>
      <c r="D17" t="s">
        <v>49</v>
      </c>
      <c r="E17" t="s">
        <v>48</v>
      </c>
      <c r="F17" t="s">
        <v>53</v>
      </c>
      <c r="G17" t="s">
        <v>58</v>
      </c>
      <c r="H17" t="s">
        <v>172</v>
      </c>
      <c r="J17" t="str">
        <f t="shared" si="0"/>
        <v>GAF_150nM_add; GAF_addition_Rep2; ExpID: MC8; SampleNo: 3</v>
      </c>
      <c r="K17" t="str">
        <f t="shared" si="1"/>
        <v>read1_MC11_4D.fastq.gz.fastqsanger.gz</v>
      </c>
      <c r="L17" t="str">
        <f t="shared" si="2"/>
        <v>MC11_4D_ranges_copyNorm.bw</v>
      </c>
      <c r="M17" t="str">
        <f t="shared" si="3"/>
        <v>MC11_4D_ranges_dyadCov_spec_Zscore179.wig</v>
      </c>
      <c r="N17" t="str">
        <f t="shared" si="4"/>
        <v>read1_MC11_4L.fastq.gz</v>
      </c>
    </row>
    <row r="18" spans="1:14" x14ac:dyDescent="0.2">
      <c r="A18">
        <v>5</v>
      </c>
      <c r="B18" t="s">
        <v>18</v>
      </c>
      <c r="C18">
        <v>4</v>
      </c>
      <c r="D18" t="s">
        <v>54</v>
      </c>
      <c r="E18" t="s">
        <v>54</v>
      </c>
      <c r="F18" t="s">
        <v>55</v>
      </c>
      <c r="G18" t="s">
        <v>59</v>
      </c>
      <c r="H18" t="s">
        <v>173</v>
      </c>
      <c r="J18" t="str">
        <f t="shared" si="0"/>
        <v>6hr_assembly; 6hr_assembly; ExpID: MC8; SampleNo: 4</v>
      </c>
      <c r="K18" t="str">
        <f t="shared" si="1"/>
        <v>read1_MC11_8D.fastq.gz.fastqsanger.gz</v>
      </c>
      <c r="L18" t="str">
        <f t="shared" si="2"/>
        <v>MC11_8D_ranges_copyNorm.bw</v>
      </c>
      <c r="M18" t="str">
        <f t="shared" si="3"/>
        <v>MC11_8D_ranges_dyadCov_spec_Zscore179.wig</v>
      </c>
      <c r="N18" t="str">
        <f t="shared" si="4"/>
        <v>read1_MC11_8L.fastq.gz</v>
      </c>
    </row>
    <row r="19" spans="1:14" x14ac:dyDescent="0.2">
      <c r="A19">
        <v>6</v>
      </c>
      <c r="B19" t="s">
        <v>19</v>
      </c>
      <c r="C19">
        <v>1</v>
      </c>
      <c r="D19" t="s">
        <v>60</v>
      </c>
      <c r="E19" t="s">
        <v>7</v>
      </c>
      <c r="F19" t="s">
        <v>61</v>
      </c>
      <c r="G19" t="s">
        <v>71</v>
      </c>
      <c r="H19" t="s">
        <v>174</v>
      </c>
      <c r="J19" t="str">
        <f t="shared" si="0"/>
        <v>Control; RE_digestion_Rep1, ATP_manipulation_rep1; ExpID: MC9; SampleNo: 1</v>
      </c>
      <c r="K19" t="str">
        <f t="shared" si="1"/>
        <v>read1_MC12_1D.fastq.gz.fastqsanger.gz</v>
      </c>
      <c r="L19" t="str">
        <f t="shared" si="2"/>
        <v>MC12_1D_ranges_copyNorm.bw</v>
      </c>
      <c r="M19" t="str">
        <f t="shared" si="3"/>
        <v>MC12_1D_ranges_dyadCov_spec_Zscore179.wig</v>
      </c>
      <c r="N19" t="str">
        <f t="shared" si="4"/>
        <v>read1_MC12_1L.fastq.gz</v>
      </c>
    </row>
    <row r="20" spans="1:14" x14ac:dyDescent="0.2">
      <c r="A20">
        <v>6</v>
      </c>
      <c r="B20" t="s">
        <v>19</v>
      </c>
      <c r="C20">
        <v>2</v>
      </c>
      <c r="D20" t="s">
        <v>64</v>
      </c>
      <c r="E20" t="s">
        <v>65</v>
      </c>
      <c r="F20" t="s">
        <v>68</v>
      </c>
      <c r="G20" t="s">
        <v>72</v>
      </c>
      <c r="H20" t="s">
        <v>175</v>
      </c>
      <c r="J20" t="str">
        <f t="shared" si="0"/>
        <v>Apyrase_6hrs; ATP_manipulation_rep1; ExpID: MC9; SampleNo: 2</v>
      </c>
      <c r="K20" t="str">
        <f t="shared" si="1"/>
        <v>read1_MC12_4D.fastq.gz.fastqsanger.gz</v>
      </c>
      <c r="L20" t="str">
        <f t="shared" si="2"/>
        <v>MC12_4D_ranges_copyNorm.bw</v>
      </c>
      <c r="M20" t="str">
        <f t="shared" si="3"/>
        <v>MC12_4D_ranges_dyadCov_spec_Zscore179.wig</v>
      </c>
      <c r="N20" t="str">
        <f t="shared" si="4"/>
        <v>read1_MC12_4L.fastq.gz</v>
      </c>
    </row>
    <row r="21" spans="1:14" x14ac:dyDescent="0.2">
      <c r="A21">
        <v>6</v>
      </c>
      <c r="B21" t="s">
        <v>19</v>
      </c>
      <c r="C21">
        <v>3</v>
      </c>
      <c r="D21" t="s">
        <v>64</v>
      </c>
      <c r="E21" t="s">
        <v>66</v>
      </c>
      <c r="F21" t="s">
        <v>69</v>
      </c>
      <c r="G21" t="s">
        <v>73</v>
      </c>
      <c r="H21" t="s">
        <v>176</v>
      </c>
      <c r="J21" t="str">
        <f t="shared" si="0"/>
        <v>ATP_restore; ATP_manipulation_rep1; ExpID: MC9; SampleNo: 3</v>
      </c>
      <c r="K21" t="str">
        <f t="shared" si="1"/>
        <v>read1_MC12_5D.fastq.gz.fastqsanger.gz</v>
      </c>
      <c r="L21" t="str">
        <f t="shared" si="2"/>
        <v>MC12_5D_ranges_copyNorm.bw</v>
      </c>
      <c r="M21" t="str">
        <f t="shared" si="3"/>
        <v>MC12_5D_ranges_dyadCov_spec_Zscore179.wig</v>
      </c>
      <c r="N21" t="str">
        <f t="shared" si="4"/>
        <v>read1_MC12_5L.fastq.gz</v>
      </c>
    </row>
    <row r="22" spans="1:14" x14ac:dyDescent="0.2">
      <c r="A22">
        <v>6</v>
      </c>
      <c r="B22" t="s">
        <v>19</v>
      </c>
      <c r="C22">
        <v>4</v>
      </c>
      <c r="D22" t="s">
        <v>15</v>
      </c>
      <c r="E22" t="s">
        <v>67</v>
      </c>
      <c r="F22" t="s">
        <v>70</v>
      </c>
      <c r="G22" t="s">
        <v>74</v>
      </c>
      <c r="H22" t="s">
        <v>177</v>
      </c>
      <c r="J22" t="str">
        <f t="shared" si="0"/>
        <v>FseI; RE_digestion_Rep1; ExpID: MC9; SampleNo: 4</v>
      </c>
      <c r="K22" t="str">
        <f t="shared" si="1"/>
        <v>read1_MC12_7D.fastq.gz.fastqsanger.gz</v>
      </c>
      <c r="L22" t="str">
        <f t="shared" si="2"/>
        <v>MC12_7D_ranges_copyNorm.bw</v>
      </c>
      <c r="M22" t="str">
        <f t="shared" si="3"/>
        <v>MC12_7D_ranges_dyadCov_spec_Zscore179.wig</v>
      </c>
      <c r="N22" t="str">
        <f t="shared" si="4"/>
        <v>read1_MC12_7L.fastq.gz</v>
      </c>
    </row>
    <row r="23" spans="1:14" x14ac:dyDescent="0.2">
      <c r="A23">
        <v>7</v>
      </c>
      <c r="B23" t="s">
        <v>20</v>
      </c>
      <c r="C23">
        <v>1</v>
      </c>
      <c r="D23" t="s">
        <v>75</v>
      </c>
      <c r="E23" t="s">
        <v>7</v>
      </c>
      <c r="F23" t="s">
        <v>76</v>
      </c>
      <c r="G23" t="s">
        <v>87</v>
      </c>
      <c r="H23" t="s">
        <v>178</v>
      </c>
      <c r="J23" t="str">
        <f t="shared" si="0"/>
        <v>Control; Factor_depletion_Rep1; ExpID: MC10; SampleNo: 1</v>
      </c>
      <c r="K23" t="str">
        <f t="shared" si="1"/>
        <v>read1_MC13_1D.fastq.gz.fastqsanger.gz</v>
      </c>
      <c r="L23" t="str">
        <f t="shared" si="2"/>
        <v>MC13_1D_ranges_copyNorm.bw</v>
      </c>
      <c r="M23" t="str">
        <f t="shared" si="3"/>
        <v>MC13_1D_ranges_dyadCov_spec_Zscore179.wig</v>
      </c>
      <c r="N23" t="str">
        <f t="shared" si="4"/>
        <v>read1_MC13_1L.fastq.gz</v>
      </c>
    </row>
    <row r="24" spans="1:14" x14ac:dyDescent="0.2">
      <c r="A24">
        <v>7</v>
      </c>
      <c r="B24" t="s">
        <v>20</v>
      </c>
      <c r="C24">
        <v>2</v>
      </c>
      <c r="D24" t="s">
        <v>75</v>
      </c>
      <c r="E24" t="s">
        <v>80</v>
      </c>
      <c r="F24" t="s">
        <v>84</v>
      </c>
      <c r="G24" t="s">
        <v>88</v>
      </c>
      <c r="H24" t="s">
        <v>179</v>
      </c>
      <c r="J24" t="str">
        <f t="shared" si="0"/>
        <v>IgG_depletion; Factor_depletion_Rep1; ExpID: MC10; SampleNo: 2</v>
      </c>
      <c r="K24" t="str">
        <f t="shared" si="1"/>
        <v>read1_MC13_2D.fastq.gz.fastqsanger.gz</v>
      </c>
      <c r="L24" t="str">
        <f t="shared" si="2"/>
        <v>MC13_2D_ranges_copyNorm.bw</v>
      </c>
      <c r="M24" t="str">
        <f t="shared" si="3"/>
        <v>MC13_2D_ranges_dyadCov_spec_Zscore179.wig</v>
      </c>
      <c r="N24" t="str">
        <f t="shared" si="4"/>
        <v>read1_MC13_2L.fastq.gz</v>
      </c>
    </row>
    <row r="25" spans="1:14" x14ac:dyDescent="0.2">
      <c r="A25">
        <v>7</v>
      </c>
      <c r="B25" t="s">
        <v>20</v>
      </c>
      <c r="C25">
        <v>3</v>
      </c>
      <c r="D25" t="s">
        <v>75</v>
      </c>
      <c r="E25" t="s">
        <v>81</v>
      </c>
      <c r="F25" t="s">
        <v>85</v>
      </c>
      <c r="G25" t="s">
        <v>89</v>
      </c>
      <c r="H25" t="s">
        <v>180</v>
      </c>
      <c r="J25" t="str">
        <f t="shared" si="0"/>
        <v>SuHW_depletion; Factor_depletion_Rep1; ExpID: MC10; SampleNo: 3</v>
      </c>
      <c r="K25" t="str">
        <f t="shared" si="1"/>
        <v>read1_MC13_3D.fastq.gz.fastqsanger.gz</v>
      </c>
      <c r="L25" t="str">
        <f t="shared" si="2"/>
        <v>MC13_3D_ranges_copyNorm.bw</v>
      </c>
      <c r="M25" t="str">
        <f t="shared" si="3"/>
        <v>MC13_3D_ranges_dyadCov_spec_Zscore179.wig</v>
      </c>
      <c r="N25" t="str">
        <f t="shared" si="4"/>
        <v>read1_MC13_3L.fastq.gz</v>
      </c>
    </row>
    <row r="26" spans="1:14" x14ac:dyDescent="0.2">
      <c r="A26">
        <v>7</v>
      </c>
      <c r="B26" t="s">
        <v>20</v>
      </c>
      <c r="C26">
        <v>4</v>
      </c>
      <c r="D26" t="s">
        <v>75</v>
      </c>
      <c r="E26" t="s">
        <v>82</v>
      </c>
      <c r="F26" t="s">
        <v>86</v>
      </c>
      <c r="G26" t="s">
        <v>90</v>
      </c>
      <c r="H26" t="s">
        <v>181</v>
      </c>
      <c r="J26" t="str">
        <f t="shared" si="0"/>
        <v>Smc1_depletion; Factor_depletion_Rep1; ExpID: MC10; SampleNo: 4</v>
      </c>
      <c r="K26" t="str">
        <f t="shared" si="1"/>
        <v>read1_MC13_4D.fastq.gz.fastqsanger.gz</v>
      </c>
      <c r="L26" t="str">
        <f t="shared" si="2"/>
        <v>MC13_4D_ranges_copyNorm.bw</v>
      </c>
      <c r="M26" t="str">
        <f t="shared" si="3"/>
        <v>MC13_4D_ranges_dyadCov_spec_Zscore179.wig</v>
      </c>
      <c r="N26" t="str">
        <f t="shared" si="4"/>
        <v>read1_MC13_4L.fastq.gz</v>
      </c>
    </row>
    <row r="27" spans="1:14" x14ac:dyDescent="0.2">
      <c r="A27">
        <v>8</v>
      </c>
      <c r="B27" t="s">
        <v>62</v>
      </c>
      <c r="C27">
        <v>1</v>
      </c>
      <c r="D27" t="s">
        <v>21</v>
      </c>
      <c r="E27" t="s">
        <v>7</v>
      </c>
      <c r="F27" t="s">
        <v>91</v>
      </c>
      <c r="G27" t="s">
        <v>92</v>
      </c>
      <c r="H27" t="s">
        <v>182</v>
      </c>
      <c r="J27" t="str">
        <f t="shared" si="0"/>
        <v>Control; RE_digestion_Rep2; ExpID: MC11; SampleNo: 1</v>
      </c>
      <c r="K27" t="str">
        <f t="shared" si="1"/>
        <v>read1_MC14_1D.fastq.gz.fastqsanger.gz</v>
      </c>
      <c r="L27" t="str">
        <f t="shared" si="2"/>
        <v>MC14_1D_ranges_copyNorm.bw</v>
      </c>
      <c r="M27" t="str">
        <f t="shared" si="3"/>
        <v>MC14_1D_ranges_dyadCov_spec_Zscore179.wig</v>
      </c>
      <c r="N27" t="str">
        <f t="shared" si="4"/>
        <v>read1_MC14_1L.fastq.gz</v>
      </c>
    </row>
    <row r="28" spans="1:14" x14ac:dyDescent="0.2">
      <c r="A28">
        <v>8</v>
      </c>
      <c r="B28" t="s">
        <v>62</v>
      </c>
      <c r="C28">
        <v>2</v>
      </c>
      <c r="D28" t="s">
        <v>21</v>
      </c>
      <c r="E28" t="s">
        <v>23</v>
      </c>
      <c r="F28" t="s">
        <v>93</v>
      </c>
      <c r="G28" t="s">
        <v>94</v>
      </c>
      <c r="H28" t="s">
        <v>183</v>
      </c>
      <c r="J28" t="str">
        <f t="shared" si="0"/>
        <v>AscI; RE_digestion_Rep2; ExpID: MC11; SampleNo: 2</v>
      </c>
      <c r="K28" t="str">
        <f t="shared" si="1"/>
        <v>read1_MC14_2D.fastq.gz.fastqsanger.gz</v>
      </c>
      <c r="L28" t="str">
        <f t="shared" si="2"/>
        <v>MC14_2D_ranges_copyNorm.bw</v>
      </c>
      <c r="M28" t="str">
        <f t="shared" si="3"/>
        <v>MC14_2D_ranges_dyadCov_spec_Zscore179.wig</v>
      </c>
      <c r="N28" t="str">
        <f t="shared" si="4"/>
        <v>read1_MC14_2L.fastq.gz</v>
      </c>
    </row>
    <row r="29" spans="1:14" x14ac:dyDescent="0.2">
      <c r="A29" s="1">
        <v>8</v>
      </c>
      <c r="B29" s="1" t="s">
        <v>62</v>
      </c>
      <c r="C29" s="1">
        <v>3</v>
      </c>
      <c r="D29" s="1" t="s">
        <v>21</v>
      </c>
      <c r="E29" s="1" t="s">
        <v>25</v>
      </c>
      <c r="F29" s="1" t="s">
        <v>95</v>
      </c>
      <c r="G29" s="1" t="s">
        <v>96</v>
      </c>
      <c r="H29" s="1" t="s">
        <v>184</v>
      </c>
      <c r="J29" t="str">
        <f t="shared" si="0"/>
        <v>SrfI; RE_digestion_Rep2; ExpID: MC11; SampleNo: 3</v>
      </c>
      <c r="K29" t="str">
        <f t="shared" si="1"/>
        <v>read1_MC14_4D.fastq.gz.fastqsanger.gz</v>
      </c>
      <c r="L29" t="str">
        <f t="shared" si="2"/>
        <v>MC14_4D_ranges_copyNorm.bw</v>
      </c>
      <c r="M29" t="str">
        <f t="shared" si="3"/>
        <v>MC14_4D_ranges_dyadCov_spec_Zscore179.wig</v>
      </c>
      <c r="N29" t="str">
        <f t="shared" si="4"/>
        <v>read1_MC14_4L.fastq.gz</v>
      </c>
    </row>
    <row r="30" spans="1:14" x14ac:dyDescent="0.2">
      <c r="A30" s="1">
        <v>8</v>
      </c>
      <c r="B30" s="1" t="s">
        <v>62</v>
      </c>
      <c r="C30" s="1">
        <v>4</v>
      </c>
      <c r="D30" s="1" t="s">
        <v>21</v>
      </c>
      <c r="E30" s="1" t="s">
        <v>38</v>
      </c>
      <c r="F30" s="1" t="s">
        <v>97</v>
      </c>
      <c r="G30" s="1" t="s">
        <v>98</v>
      </c>
      <c r="H30" s="1" t="s">
        <v>185</v>
      </c>
      <c r="J30" t="str">
        <f t="shared" si="0"/>
        <v>SfiI; RE_digestion_Rep2; ExpID: MC11; SampleNo: 4</v>
      </c>
      <c r="K30" t="str">
        <f t="shared" si="1"/>
        <v>read1_MC14_5D.fastq.gz.fastqsanger.gz</v>
      </c>
      <c r="L30" t="str">
        <f t="shared" si="2"/>
        <v>MC14_5D_ranges_copyNorm.bw</v>
      </c>
      <c r="M30" t="str">
        <f t="shared" si="3"/>
        <v>MC14_5D_ranges_dyadCov_spec_Zscore179.wig</v>
      </c>
      <c r="N30" t="str">
        <f t="shared" si="4"/>
        <v>read1_MC14_5L.fastq.gz</v>
      </c>
    </row>
    <row r="31" spans="1:14" x14ac:dyDescent="0.2">
      <c r="A31" s="1">
        <v>8</v>
      </c>
      <c r="B31" s="1" t="s">
        <v>62</v>
      </c>
      <c r="C31" s="1">
        <v>5</v>
      </c>
      <c r="D31" s="1" t="s">
        <v>21</v>
      </c>
      <c r="E31" s="1" t="s">
        <v>67</v>
      </c>
      <c r="F31" s="1" t="s">
        <v>99</v>
      </c>
      <c r="G31" s="1" t="s">
        <v>100</v>
      </c>
      <c r="H31" s="1" t="s">
        <v>186</v>
      </c>
      <c r="J31" t="str">
        <f t="shared" si="0"/>
        <v>FseI; RE_digestion_Rep2; ExpID: MC11; SampleNo: 5</v>
      </c>
      <c r="K31" t="str">
        <f t="shared" si="1"/>
        <v>read1_MC14_6D.fastq.gz.fastqsanger.gz</v>
      </c>
      <c r="L31" t="str">
        <f t="shared" si="2"/>
        <v>MC14_6D_ranges_copyNorm.bw</v>
      </c>
      <c r="M31" t="str">
        <f t="shared" si="3"/>
        <v>MC14_6D_ranges_dyadCov_spec_Zscore179.wig</v>
      </c>
      <c r="N31" t="str">
        <f t="shared" si="4"/>
        <v>read1_MC14_6L.fastq.gz</v>
      </c>
    </row>
    <row r="32" spans="1:14" x14ac:dyDescent="0.2">
      <c r="A32" s="1">
        <v>8</v>
      </c>
      <c r="B32" s="1" t="s">
        <v>62</v>
      </c>
      <c r="C32" s="1">
        <v>6</v>
      </c>
      <c r="D32" s="1" t="s">
        <v>101</v>
      </c>
      <c r="E32" s="1" t="s">
        <v>7</v>
      </c>
      <c r="F32" s="1" t="s">
        <v>102</v>
      </c>
      <c r="G32" s="1" t="s">
        <v>103</v>
      </c>
      <c r="H32" s="1" t="s">
        <v>187</v>
      </c>
      <c r="J32" t="str">
        <f t="shared" si="0"/>
        <v>Control; Abf1_Addition_Rep1; ExpID: MC11; SampleNo: 6</v>
      </c>
      <c r="K32" t="str">
        <f t="shared" si="1"/>
        <v>read1_MC14_7D.fastq.gz.fastqsanger.gz</v>
      </c>
      <c r="L32" t="str">
        <f t="shared" si="2"/>
        <v>MC14_7D_ranges_copyNorm.bw</v>
      </c>
      <c r="M32" t="str">
        <f t="shared" si="3"/>
        <v>MC14_7D_ranges_dyadCov_spec_Zscore179.wig</v>
      </c>
      <c r="N32" t="str">
        <f t="shared" si="4"/>
        <v>read1_MC14_7L.fastq.gz</v>
      </c>
    </row>
    <row r="33" spans="1:14" x14ac:dyDescent="0.2">
      <c r="A33" s="2">
        <v>8</v>
      </c>
      <c r="B33" s="1" t="s">
        <v>62</v>
      </c>
      <c r="C33" s="1">
        <v>7</v>
      </c>
      <c r="D33" s="1" t="s">
        <v>101</v>
      </c>
      <c r="E33" s="1" t="s">
        <v>104</v>
      </c>
      <c r="F33" s="1" t="s">
        <v>105</v>
      </c>
      <c r="G33" s="1" t="s">
        <v>106</v>
      </c>
      <c r="H33" s="1" t="s">
        <v>188</v>
      </c>
      <c r="J33" t="str">
        <f t="shared" si="0"/>
        <v>Abf1_50nM_add; Abf1_Addition_Rep1; ExpID: MC11; SampleNo: 7</v>
      </c>
      <c r="K33" t="str">
        <f t="shared" si="1"/>
        <v>read1_MC14_8D.fastq.gz.fastqsanger.gz</v>
      </c>
      <c r="L33" t="str">
        <f t="shared" si="2"/>
        <v>MC14_8D_ranges_copyNorm.bw</v>
      </c>
      <c r="M33" t="str">
        <f t="shared" si="3"/>
        <v>MC14_8D_ranges_dyadCov_spec_Zscore179.wig</v>
      </c>
      <c r="N33" t="str">
        <f t="shared" si="4"/>
        <v>read1_MC14_8L.fastq.gz</v>
      </c>
    </row>
    <row r="34" spans="1:14" x14ac:dyDescent="0.2">
      <c r="A34" s="2">
        <v>9</v>
      </c>
      <c r="B34" s="1" t="s">
        <v>63</v>
      </c>
      <c r="C34" s="1">
        <v>2</v>
      </c>
      <c r="D34" t="s">
        <v>78</v>
      </c>
      <c r="E34" s="1" t="s">
        <v>80</v>
      </c>
      <c r="F34" s="1" t="s">
        <v>107</v>
      </c>
      <c r="G34" s="1" t="s">
        <v>108</v>
      </c>
      <c r="H34" s="1" t="s">
        <v>189</v>
      </c>
      <c r="J34" t="str">
        <f t="shared" si="0"/>
        <v>IgG_depletion; Factor_depletion_Rep2; ExpID: MC12; SampleNo: 2</v>
      </c>
      <c r="K34" t="str">
        <f t="shared" si="1"/>
        <v>read1_MC15_2D.fastq.gz.fastqsanger.gz</v>
      </c>
      <c r="L34" t="str">
        <f t="shared" si="2"/>
        <v>MC15_2D_ranges_copyNorm.bw</v>
      </c>
      <c r="M34" t="str">
        <f t="shared" si="3"/>
        <v>MC15_2D_ranges_dyadCov_spec_Zscore179.wig</v>
      </c>
      <c r="N34" t="str">
        <f t="shared" si="4"/>
        <v>read1_MC15_2L.fastq.gz</v>
      </c>
    </row>
    <row r="35" spans="1:14" x14ac:dyDescent="0.2">
      <c r="A35" s="1">
        <v>9</v>
      </c>
      <c r="B35" s="1" t="s">
        <v>63</v>
      </c>
      <c r="C35" s="1">
        <v>3</v>
      </c>
      <c r="D35" s="1" t="s">
        <v>78</v>
      </c>
      <c r="E35" s="1" t="s">
        <v>81</v>
      </c>
      <c r="F35" s="1" t="s">
        <v>109</v>
      </c>
      <c r="G35" s="1" t="s">
        <v>110</v>
      </c>
      <c r="H35" s="1" t="s">
        <v>190</v>
      </c>
      <c r="J35" t="str">
        <f t="shared" si="0"/>
        <v>SuHW_depletion; Factor_depletion_Rep2; ExpID: MC12; SampleNo: 3</v>
      </c>
      <c r="K35" t="str">
        <f t="shared" si="1"/>
        <v>read1_MC15_3D.fastq.gz.fastqsanger.gz</v>
      </c>
      <c r="L35" t="str">
        <f t="shared" si="2"/>
        <v>MC15_3D_ranges_copyNorm.bw</v>
      </c>
      <c r="M35" t="str">
        <f t="shared" si="3"/>
        <v>MC15_3D_ranges_dyadCov_spec_Zscore179.wig</v>
      </c>
      <c r="N35" t="str">
        <f t="shared" si="4"/>
        <v>read1_MC15_3L.fastq.gz</v>
      </c>
    </row>
    <row r="36" spans="1:14" x14ac:dyDescent="0.2">
      <c r="A36" s="1">
        <v>9</v>
      </c>
      <c r="B36" s="1" t="s">
        <v>63</v>
      </c>
      <c r="C36" s="1">
        <v>4</v>
      </c>
      <c r="D36" s="1" t="s">
        <v>78</v>
      </c>
      <c r="E36" s="1" t="s">
        <v>83</v>
      </c>
      <c r="F36" s="1" t="s">
        <v>111</v>
      </c>
      <c r="G36" s="1" t="s">
        <v>112</v>
      </c>
      <c r="H36" s="1" t="s">
        <v>191</v>
      </c>
      <c r="J36" t="str">
        <f t="shared" si="0"/>
        <v>Rad21_depletion; Factor_depletion_Rep2; ExpID: MC12; SampleNo: 4</v>
      </c>
      <c r="K36" t="str">
        <f t="shared" si="1"/>
        <v>read1_MC15_4D.fastq.gz.fastqsanger.gz</v>
      </c>
      <c r="L36" t="str">
        <f t="shared" si="2"/>
        <v>MC15_4D_ranges_copyNorm.bw</v>
      </c>
      <c r="M36" t="str">
        <f t="shared" si="3"/>
        <v>MC15_4D_ranges_dyadCov_spec_Zscore179.wig</v>
      </c>
      <c r="N36" t="str">
        <f t="shared" si="4"/>
        <v>read1_MC15_4L.fastq.gz</v>
      </c>
    </row>
    <row r="37" spans="1:14" x14ac:dyDescent="0.2">
      <c r="A37" s="1">
        <v>9</v>
      </c>
      <c r="B37" s="1" t="s">
        <v>63</v>
      </c>
      <c r="C37" s="1">
        <v>6</v>
      </c>
      <c r="D37" s="1" t="s">
        <v>78</v>
      </c>
      <c r="E37" s="1" t="s">
        <v>115</v>
      </c>
      <c r="F37" s="1" t="s">
        <v>113</v>
      </c>
      <c r="G37" s="1" t="s">
        <v>114</v>
      </c>
      <c r="H37" s="1" t="s">
        <v>192</v>
      </c>
      <c r="J37" t="str">
        <f t="shared" si="0"/>
        <v>SuHW_partial50_depletion; Factor_depletion_Rep2; ExpID: MC12; SampleNo: 6</v>
      </c>
      <c r="K37" t="str">
        <f t="shared" si="1"/>
        <v>read1_MC15_6D.fastq.gz.fastqsanger.gz</v>
      </c>
      <c r="L37" t="str">
        <f t="shared" si="2"/>
        <v>MC15_6D_ranges_copyNorm.bw</v>
      </c>
      <c r="M37" t="str">
        <f t="shared" si="3"/>
        <v>MC15_6D_ranges_dyadCov_spec_Zscore179.wig</v>
      </c>
      <c r="N37" t="str">
        <f t="shared" si="4"/>
        <v>read1_MC15_6L.fastq.gz</v>
      </c>
    </row>
    <row r="38" spans="1:14" x14ac:dyDescent="0.2">
      <c r="A38" s="1">
        <v>10</v>
      </c>
      <c r="B38" s="1" t="s">
        <v>77</v>
      </c>
      <c r="C38" s="1">
        <v>1</v>
      </c>
      <c r="D38" s="1" t="s">
        <v>116</v>
      </c>
      <c r="E38" s="1" t="s">
        <v>119</v>
      </c>
      <c r="F38" s="1" t="s">
        <v>117</v>
      </c>
      <c r="G38" s="1" t="s">
        <v>118</v>
      </c>
      <c r="J38" t="str">
        <f t="shared" si="0"/>
        <v>Control_1; Optimization_3; ExpID: MC15; SampleNo: 1</v>
      </c>
      <c r="K38" t="str">
        <f t="shared" si="1"/>
        <v>read1_.fastq.gz.fastqsanger.gz</v>
      </c>
      <c r="L38" t="str">
        <f t="shared" si="2"/>
        <v>_ranges_copyNorm.bw</v>
      </c>
      <c r="M38" t="str">
        <f t="shared" si="3"/>
        <v>_ranges_dyadCov_spec_Zscore179.wig</v>
      </c>
      <c r="N38" t="str">
        <f t="shared" si="4"/>
        <v>read1_MJ41_1.fastq.gz</v>
      </c>
    </row>
    <row r="39" spans="1:14" x14ac:dyDescent="0.2">
      <c r="A39" s="1">
        <v>10</v>
      </c>
      <c r="B39" s="1" t="s">
        <v>77</v>
      </c>
      <c r="C39" s="1">
        <v>2</v>
      </c>
      <c r="D39" s="1" t="s">
        <v>116</v>
      </c>
      <c r="E39" s="1" t="s">
        <v>120</v>
      </c>
      <c r="F39" s="1" t="s">
        <v>121</v>
      </c>
      <c r="G39" s="1" t="s">
        <v>122</v>
      </c>
      <c r="J39" t="str">
        <f t="shared" si="0"/>
        <v>Control_2; Optimization_3; ExpID: MC15; SampleNo: 2</v>
      </c>
      <c r="K39" t="str">
        <f t="shared" si="1"/>
        <v>read1_.fastq.gz.fastqsanger.gz</v>
      </c>
      <c r="L39" t="str">
        <f t="shared" si="2"/>
        <v>_ranges_copyNorm.bw</v>
      </c>
      <c r="M39" t="str">
        <f t="shared" si="3"/>
        <v>_ranges_dyadCov_spec_Zscore179.wig</v>
      </c>
      <c r="N39" t="str">
        <f t="shared" si="4"/>
        <v>read1_MJ41_2.fastq.gz</v>
      </c>
    </row>
    <row r="40" spans="1:14" x14ac:dyDescent="0.2">
      <c r="A40" s="1">
        <v>11</v>
      </c>
      <c r="B40" s="1" t="s">
        <v>123</v>
      </c>
      <c r="C40" s="1">
        <v>1</v>
      </c>
      <c r="D40" s="1" t="s">
        <v>124</v>
      </c>
      <c r="E40" s="1" t="s">
        <v>7</v>
      </c>
      <c r="F40" s="1" t="s">
        <v>126</v>
      </c>
      <c r="G40" s="1" t="s">
        <v>125</v>
      </c>
      <c r="H40" s="1" t="s">
        <v>193</v>
      </c>
      <c r="J40" t="str">
        <f t="shared" si="0"/>
        <v>Control; Factor_depletion_Rep3, ATP_manipulation_rep2; ExpID: MC16; SampleNo: 1</v>
      </c>
      <c r="K40" t="str">
        <f t="shared" si="1"/>
        <v>read1_MC19_1D.fastq.gz.fastqsanger.gz</v>
      </c>
      <c r="L40" t="str">
        <f t="shared" si="2"/>
        <v>MC19_1D_ranges_copyNorm.bw</v>
      </c>
      <c r="M40" t="str">
        <f t="shared" si="3"/>
        <v>MC19_1D_ranges_dyadCov_spec_Zscore179.wig</v>
      </c>
      <c r="N40" t="str">
        <f t="shared" si="4"/>
        <v>read1_MC19_1L.fastq.gz</v>
      </c>
    </row>
    <row r="41" spans="1:14" x14ac:dyDescent="0.2">
      <c r="A41" s="1">
        <v>11</v>
      </c>
      <c r="B41" s="1" t="s">
        <v>123</v>
      </c>
      <c r="C41" s="1">
        <v>2</v>
      </c>
      <c r="D41" s="1" t="s">
        <v>138</v>
      </c>
      <c r="E41" s="1" t="s">
        <v>65</v>
      </c>
      <c r="F41" s="1" t="s">
        <v>129</v>
      </c>
      <c r="G41" s="1" t="s">
        <v>130</v>
      </c>
      <c r="H41" s="1" t="s">
        <v>194</v>
      </c>
      <c r="J41" t="str">
        <f t="shared" si="0"/>
        <v>Apyrase_6hrs; ATP_manipulation_rep2; ExpID: MC16; SampleNo: 2</v>
      </c>
      <c r="K41" t="str">
        <f t="shared" si="1"/>
        <v>read1_MC19_2D.fastq.gz.fastqsanger.gz</v>
      </c>
      <c r="L41" t="str">
        <f t="shared" si="2"/>
        <v>MC19_2D_ranges_copyNorm.bw</v>
      </c>
      <c r="M41" t="str">
        <f t="shared" si="3"/>
        <v>MC19_2D_ranges_dyadCov_spec_Zscore179.wig</v>
      </c>
      <c r="N41" t="str">
        <f t="shared" si="4"/>
        <v>read1_MC19_2L.fastq.gz</v>
      </c>
    </row>
    <row r="42" spans="1:14" x14ac:dyDescent="0.2">
      <c r="A42" s="1">
        <v>11</v>
      </c>
      <c r="B42" s="1" t="s">
        <v>123</v>
      </c>
      <c r="C42" s="1">
        <v>3</v>
      </c>
      <c r="D42" s="1" t="s">
        <v>138</v>
      </c>
      <c r="E42" s="1" t="s">
        <v>66</v>
      </c>
      <c r="F42" s="1" t="s">
        <v>131</v>
      </c>
      <c r="G42" s="1" t="s">
        <v>132</v>
      </c>
      <c r="H42" s="1" t="s">
        <v>195</v>
      </c>
      <c r="J42" t="str">
        <f t="shared" si="0"/>
        <v>ATP_restore; ATP_manipulation_rep2; ExpID: MC16; SampleNo: 3</v>
      </c>
      <c r="K42" t="str">
        <f t="shared" si="1"/>
        <v>read1_MC19_3D.fastq.gz.fastqsanger.gz</v>
      </c>
      <c r="L42" t="str">
        <f t="shared" si="2"/>
        <v>MC19_3D_ranges_copyNorm.bw</v>
      </c>
      <c r="M42" t="str">
        <f t="shared" si="3"/>
        <v>MC19_3D_ranges_dyadCov_spec_Zscore179.wig</v>
      </c>
      <c r="N42" t="str">
        <f t="shared" si="4"/>
        <v>read1_MC19_3L.fastq.gz</v>
      </c>
    </row>
    <row r="43" spans="1:14" x14ac:dyDescent="0.2">
      <c r="A43" s="1">
        <v>11</v>
      </c>
      <c r="B43" s="1" t="s">
        <v>123</v>
      </c>
      <c r="C43" s="1">
        <v>4</v>
      </c>
      <c r="D43" s="1" t="s">
        <v>79</v>
      </c>
      <c r="E43" s="1" t="s">
        <v>80</v>
      </c>
      <c r="F43" s="1" t="s">
        <v>128</v>
      </c>
      <c r="G43" s="1" t="s">
        <v>127</v>
      </c>
      <c r="H43" s="1" t="s">
        <v>196</v>
      </c>
      <c r="J43" t="str">
        <f t="shared" si="0"/>
        <v>IgG_depletion; Factor_depletion_Rep3; ExpID: MC16; SampleNo: 4</v>
      </c>
      <c r="K43" t="str">
        <f t="shared" si="1"/>
        <v>read1_MC19_4D.fastq.gz.fastqsanger.gz</v>
      </c>
      <c r="L43" t="str">
        <f t="shared" si="2"/>
        <v>MC19_4D_ranges_copyNorm.bw</v>
      </c>
      <c r="M43" t="str">
        <f t="shared" si="3"/>
        <v>MC19_4D_ranges_dyadCov_spec_Zscore179.wig</v>
      </c>
      <c r="N43" t="str">
        <f t="shared" si="4"/>
        <v>read1_MC19_4L.fastq.gz</v>
      </c>
    </row>
    <row r="44" spans="1:14" x14ac:dyDescent="0.2">
      <c r="A44" s="1">
        <v>11</v>
      </c>
      <c r="B44" s="1" t="s">
        <v>123</v>
      </c>
      <c r="C44" s="1">
        <v>6</v>
      </c>
      <c r="D44" s="1" t="s">
        <v>79</v>
      </c>
      <c r="E44" s="1" t="s">
        <v>115</v>
      </c>
      <c r="F44" s="1" t="s">
        <v>133</v>
      </c>
      <c r="G44" s="1" t="s">
        <v>134</v>
      </c>
      <c r="H44" s="1" t="s">
        <v>197</v>
      </c>
      <c r="J44" t="str">
        <f t="shared" si="0"/>
        <v>SuHW_partial50_depletion; Factor_depletion_Rep3; ExpID: MC16; SampleNo: 6</v>
      </c>
      <c r="K44" t="str">
        <f t="shared" si="1"/>
        <v>read1_MC19_6D.fastq.gz.fastqsanger.gz</v>
      </c>
      <c r="L44" t="str">
        <f t="shared" si="2"/>
        <v>MC19_6D_ranges_copyNorm.bw</v>
      </c>
      <c r="M44" t="str">
        <f t="shared" si="3"/>
        <v>MC19_6D_ranges_dyadCov_spec_Zscore179.wig</v>
      </c>
      <c r="N44" t="str">
        <f t="shared" si="4"/>
        <v>read1_MC19_6L.fastq.gz</v>
      </c>
    </row>
    <row r="45" spans="1:14" x14ac:dyDescent="0.2">
      <c r="A45" s="1">
        <v>11</v>
      </c>
      <c r="B45" s="1" t="s">
        <v>123</v>
      </c>
      <c r="C45" s="1">
        <v>7</v>
      </c>
      <c r="D45" s="1" t="s">
        <v>79</v>
      </c>
      <c r="E45" s="1" t="s">
        <v>83</v>
      </c>
      <c r="F45" s="1" t="s">
        <v>135</v>
      </c>
      <c r="G45" s="1" t="s">
        <v>136</v>
      </c>
      <c r="H45" s="1" t="s">
        <v>198</v>
      </c>
      <c r="J45" t="str">
        <f t="shared" si="0"/>
        <v>Rad21_depletion; Factor_depletion_Rep3; ExpID: MC16; SampleNo: 7</v>
      </c>
      <c r="K45" t="str">
        <f t="shared" si="1"/>
        <v>read1_MC19_7D.fastq.gz.fastqsanger.gz</v>
      </c>
      <c r="L45" t="str">
        <f t="shared" si="2"/>
        <v>MC19_7D_ranges_copyNorm.bw</v>
      </c>
      <c r="M45" t="str">
        <f t="shared" si="3"/>
        <v>MC19_7D_ranges_dyadCov_spec_Zscore179.wig</v>
      </c>
      <c r="N45" t="str">
        <f t="shared" si="4"/>
        <v>read1_MC19_7L.fastq.gz</v>
      </c>
    </row>
    <row r="46" spans="1:14" x14ac:dyDescent="0.2">
      <c r="A46" s="1">
        <v>12</v>
      </c>
      <c r="B46" s="1" t="s">
        <v>137</v>
      </c>
      <c r="C46" s="1">
        <v>1</v>
      </c>
      <c r="D46" s="1" t="s">
        <v>224</v>
      </c>
      <c r="E46" s="1" t="s">
        <v>7</v>
      </c>
      <c r="F46" s="1" t="s">
        <v>139</v>
      </c>
      <c r="G46" s="1" t="s">
        <v>212</v>
      </c>
      <c r="H46" s="1" t="s">
        <v>199</v>
      </c>
      <c r="J46" t="str">
        <f t="shared" si="0"/>
        <v>Control; RE_digestion_Rep3; Factor_depletion_Rep4, ATP_manipulation_rep3, Transcriptional_Inhibition_Rep1; ExpID: MC17; SampleNo: 1</v>
      </c>
      <c r="K46" t="str">
        <f t="shared" si="1"/>
        <v>read1_MC201_1D.fastq.gz.fastqsanger.gz</v>
      </c>
      <c r="L46" t="str">
        <f t="shared" si="2"/>
        <v>MC201_1D_ranges_copyNorm.bw</v>
      </c>
      <c r="M46" t="str">
        <f t="shared" si="3"/>
        <v>MC201_1D_ranges_dyadCov_spec_Zscore179.wig</v>
      </c>
      <c r="N46" t="str">
        <f t="shared" si="4"/>
        <v>read1_MC201_1L.fastq.gz</v>
      </c>
    </row>
    <row r="47" spans="1:14" x14ac:dyDescent="0.2">
      <c r="A47" s="1">
        <v>12</v>
      </c>
      <c r="B47" s="1" t="s">
        <v>137</v>
      </c>
      <c r="C47" s="1">
        <v>2</v>
      </c>
      <c r="D47" s="1" t="s">
        <v>140</v>
      </c>
      <c r="E47" s="1" t="s">
        <v>65</v>
      </c>
      <c r="F47" s="1" t="s">
        <v>141</v>
      </c>
      <c r="G47" s="1" t="s">
        <v>213</v>
      </c>
      <c r="H47" s="1" t="s">
        <v>200</v>
      </c>
      <c r="J47" t="str">
        <f t="shared" si="0"/>
        <v>Apyrase_6hrs; ATP_manipulation_rep3; ExpID: MC17; SampleNo: 2</v>
      </c>
      <c r="K47" t="str">
        <f t="shared" si="1"/>
        <v>read1_MC201_2D.fastq.gz.fastqsanger.gz</v>
      </c>
      <c r="L47" t="str">
        <f t="shared" si="2"/>
        <v>MC201_2D_ranges_copyNorm.bw</v>
      </c>
      <c r="M47" t="str">
        <f t="shared" si="3"/>
        <v>MC201_2D_ranges_dyadCov_spec_Zscore179.wig</v>
      </c>
      <c r="N47" t="str">
        <f t="shared" si="4"/>
        <v>read1_MC201_2L.fastq.gz</v>
      </c>
    </row>
    <row r="48" spans="1:14" x14ac:dyDescent="0.2">
      <c r="A48" s="1">
        <v>12</v>
      </c>
      <c r="B48" s="1" t="s">
        <v>137</v>
      </c>
      <c r="C48">
        <v>3</v>
      </c>
      <c r="D48" s="1" t="s">
        <v>223</v>
      </c>
      <c r="E48" s="1" t="s">
        <v>142</v>
      </c>
      <c r="F48" s="1" t="s">
        <v>143</v>
      </c>
      <c r="G48" s="1" t="s">
        <v>214</v>
      </c>
      <c r="H48" s="1" t="s">
        <v>201</v>
      </c>
      <c r="J48" t="str">
        <f t="shared" si="0"/>
        <v>ActD; Transcriptional_Inhibition_Rep1; ExpID: MC17; SampleNo: 3</v>
      </c>
      <c r="K48" t="str">
        <f t="shared" si="1"/>
        <v>read1_MC201_3D.fastq.gz.fastqsanger.gz</v>
      </c>
      <c r="L48" t="str">
        <f t="shared" si="2"/>
        <v>MC201_3D_ranges_copyNorm.bw</v>
      </c>
      <c r="M48" t="str">
        <f t="shared" si="3"/>
        <v>MC201_3D_ranges_dyadCov_spec_Zscore179.wig</v>
      </c>
      <c r="N48" t="str">
        <f t="shared" si="4"/>
        <v>read1_MC201_3L.fastq.gz</v>
      </c>
    </row>
    <row r="49" spans="1:14" x14ac:dyDescent="0.2">
      <c r="A49" s="1">
        <v>12</v>
      </c>
      <c r="B49" s="1" t="s">
        <v>137</v>
      </c>
      <c r="C49" s="1">
        <v>4</v>
      </c>
      <c r="D49" s="1" t="s">
        <v>22</v>
      </c>
      <c r="E49" s="1" t="s">
        <v>24</v>
      </c>
      <c r="F49" s="1" t="s">
        <v>144</v>
      </c>
      <c r="G49" s="1" t="s">
        <v>215</v>
      </c>
      <c r="H49" s="1" t="s">
        <v>202</v>
      </c>
      <c r="J49" t="str">
        <f t="shared" si="0"/>
        <v>BsiWI; RE_digestion_Rep3; ExpID: MC17; SampleNo: 4</v>
      </c>
      <c r="K49" t="str">
        <f t="shared" si="1"/>
        <v>read1_MC201_4D.fastq.gz.fastqsanger.gz</v>
      </c>
      <c r="L49" t="str">
        <f t="shared" si="2"/>
        <v>MC201_4D_ranges_copyNorm.bw</v>
      </c>
      <c r="M49" t="str">
        <f t="shared" si="3"/>
        <v>MC201_4D_ranges_dyadCov_spec_Zscore179.wig</v>
      </c>
      <c r="N49" t="str">
        <f t="shared" si="4"/>
        <v>read1_MC201_4L.fastq.gz</v>
      </c>
    </row>
    <row r="50" spans="1:14" x14ac:dyDescent="0.2">
      <c r="A50" s="1">
        <v>12</v>
      </c>
      <c r="B50" s="1" t="s">
        <v>137</v>
      </c>
      <c r="C50" s="1">
        <v>6</v>
      </c>
      <c r="D50" s="1" t="s">
        <v>145</v>
      </c>
      <c r="E50" s="1" t="s">
        <v>7</v>
      </c>
      <c r="F50" s="1" t="s">
        <v>146</v>
      </c>
      <c r="G50" s="1" t="s">
        <v>216</v>
      </c>
      <c r="H50" s="1" t="s">
        <v>203</v>
      </c>
      <c r="J50" t="str">
        <f t="shared" si="0"/>
        <v>Control; Optimization_4; ExpID: MC17; SampleNo: 6</v>
      </c>
      <c r="K50" t="str">
        <f t="shared" si="1"/>
        <v>read1_MC201_6D.fastq.gz.fastqsanger.gz</v>
      </c>
      <c r="L50" t="str">
        <f t="shared" si="2"/>
        <v>MC201_6D_ranges_copyNorm.bw</v>
      </c>
      <c r="M50" t="str">
        <f t="shared" si="3"/>
        <v>MC201_6D_ranges_dyadCov_spec_Zscore179.wig</v>
      </c>
      <c r="N50" t="str">
        <f t="shared" si="4"/>
        <v>read1_MC201_6L.fastq.gz</v>
      </c>
    </row>
    <row r="51" spans="1:14" x14ac:dyDescent="0.2">
      <c r="A51" s="1">
        <v>13</v>
      </c>
      <c r="B51" s="1" t="s">
        <v>226</v>
      </c>
      <c r="C51" s="1">
        <v>7</v>
      </c>
      <c r="D51" s="1" t="s">
        <v>225</v>
      </c>
      <c r="E51" s="1" t="s">
        <v>7</v>
      </c>
      <c r="F51" s="1" t="s">
        <v>147</v>
      </c>
      <c r="G51" s="1" t="s">
        <v>217</v>
      </c>
      <c r="H51" s="1" t="s">
        <v>204</v>
      </c>
      <c r="J51" t="str">
        <f t="shared" si="0"/>
        <v>Control; RE_digestion_Rep3; Factor_depletion_Rep4, Transcriptional_Inhibition_Rep2; ExpID: MC17b; SampleNo: 7</v>
      </c>
      <c r="K51" t="str">
        <f t="shared" si="1"/>
        <v>read1_MC201_7D.fastq.gz.fastqsanger.gz</v>
      </c>
      <c r="L51" t="str">
        <f t="shared" si="2"/>
        <v>MC201_7D_ranges_copyNorm.bw</v>
      </c>
      <c r="M51" t="str">
        <f t="shared" si="3"/>
        <v>MC201_7D_ranges_dyadCov_spec_Zscore179.wig</v>
      </c>
      <c r="N51" t="str">
        <f t="shared" si="4"/>
        <v>read1_MC201_7L.fastq.gz</v>
      </c>
    </row>
    <row r="52" spans="1:14" x14ac:dyDescent="0.2">
      <c r="A52" s="1">
        <v>13</v>
      </c>
      <c r="B52" s="1" t="s">
        <v>226</v>
      </c>
      <c r="C52" s="1">
        <v>11</v>
      </c>
      <c r="D52" s="1" t="s">
        <v>22</v>
      </c>
      <c r="E52" s="1" t="s">
        <v>25</v>
      </c>
      <c r="F52" s="1" t="s">
        <v>148</v>
      </c>
      <c r="G52" s="1" t="s">
        <v>218</v>
      </c>
      <c r="H52" s="1" t="s">
        <v>205</v>
      </c>
      <c r="J52" t="str">
        <f t="shared" si="0"/>
        <v>SrfI; RE_digestion_Rep3; ExpID: MC17b; SampleNo: 11</v>
      </c>
      <c r="K52" t="str">
        <f t="shared" si="1"/>
        <v>read1_MC201_11D.fastq.gz.fastqsanger.gz</v>
      </c>
      <c r="L52" t="str">
        <f t="shared" si="2"/>
        <v>MC201_11D_ranges_copyNorm.bw</v>
      </c>
      <c r="M52" t="str">
        <f t="shared" si="3"/>
        <v>MC201_11D_ranges_dyadCov_spec_Zscore179.wig</v>
      </c>
      <c r="N52" t="str">
        <f t="shared" si="4"/>
        <v>read1_MC201_11L.fastq.gz</v>
      </c>
    </row>
    <row r="53" spans="1:14" x14ac:dyDescent="0.2">
      <c r="A53" s="1">
        <v>13</v>
      </c>
      <c r="B53" s="1" t="s">
        <v>226</v>
      </c>
      <c r="C53" s="1">
        <v>12</v>
      </c>
      <c r="D53" s="1" t="s">
        <v>22</v>
      </c>
      <c r="E53" s="1" t="s">
        <v>38</v>
      </c>
      <c r="F53" s="1" t="s">
        <v>149</v>
      </c>
      <c r="G53" s="1" t="s">
        <v>219</v>
      </c>
      <c r="H53" s="1" t="s">
        <v>206</v>
      </c>
      <c r="J53" t="str">
        <f t="shared" si="0"/>
        <v>SfiI; RE_digestion_Rep3; ExpID: MC17b; SampleNo: 12</v>
      </c>
      <c r="K53" t="str">
        <f t="shared" si="1"/>
        <v>read1_MC201_12D.fastq.gz.fastqsanger.gz</v>
      </c>
      <c r="L53" t="str">
        <f t="shared" si="2"/>
        <v>MC201_12D_ranges_copyNorm.bw</v>
      </c>
      <c r="M53" t="str">
        <f t="shared" si="3"/>
        <v>MC201_12D_ranges_dyadCov_spec_Zscore179.wig</v>
      </c>
      <c r="N53" t="str">
        <f t="shared" si="4"/>
        <v>read1_MC201_12L.fastq.gz</v>
      </c>
    </row>
    <row r="54" spans="1:14" x14ac:dyDescent="0.2">
      <c r="A54" s="1">
        <v>13</v>
      </c>
      <c r="B54" s="1" t="s">
        <v>226</v>
      </c>
      <c r="C54" s="1">
        <v>13</v>
      </c>
      <c r="D54" s="1" t="s">
        <v>22</v>
      </c>
      <c r="E54" s="1" t="s">
        <v>67</v>
      </c>
      <c r="F54" s="1" t="s">
        <v>150</v>
      </c>
      <c r="G54" s="1" t="s">
        <v>220</v>
      </c>
      <c r="H54" s="1" t="s">
        <v>207</v>
      </c>
      <c r="J54" t="str">
        <f t="shared" si="0"/>
        <v>FseI; RE_digestion_Rep3; ExpID: MC17b; SampleNo: 13</v>
      </c>
      <c r="K54" t="str">
        <f t="shared" si="1"/>
        <v>read1_MC201_13D.fastq.gz.fastqsanger.gz</v>
      </c>
      <c r="L54" t="str">
        <f t="shared" si="2"/>
        <v>MC201_13D_ranges_copyNorm.bw</v>
      </c>
      <c r="M54" t="str">
        <f t="shared" si="3"/>
        <v>MC201_13D_ranges_dyadCov_spec_Zscore179.wig</v>
      </c>
      <c r="N54" t="str">
        <f t="shared" si="4"/>
        <v>read1_MC201_13L.fastq.gz</v>
      </c>
    </row>
    <row r="55" spans="1:14" x14ac:dyDescent="0.2">
      <c r="A55" s="1">
        <v>13</v>
      </c>
      <c r="B55" s="1" t="s">
        <v>226</v>
      </c>
      <c r="C55" s="1">
        <v>14</v>
      </c>
      <c r="D55" s="1" t="s">
        <v>222</v>
      </c>
      <c r="E55" s="1" t="s">
        <v>142</v>
      </c>
      <c r="F55" s="1" t="s">
        <v>151</v>
      </c>
      <c r="G55" s="1" t="s">
        <v>221</v>
      </c>
      <c r="H55" s="1" t="s">
        <v>208</v>
      </c>
      <c r="J55" t="str">
        <f t="shared" si="0"/>
        <v>ActD; Transcriptional_Inhibition_Rep2; ExpID: MC17b; SampleNo: 14</v>
      </c>
      <c r="K55" t="str">
        <f t="shared" si="1"/>
        <v>read1_MC201_14D.fastq.gz.fastqsanger.gz</v>
      </c>
      <c r="L55" t="str">
        <f t="shared" si="2"/>
        <v>MC201_14D_ranges_copyNorm.bw</v>
      </c>
      <c r="M55" t="str">
        <f t="shared" si="3"/>
        <v>MC201_14D_ranges_dyadCov_spec_Zscore179.wig</v>
      </c>
      <c r="N55" t="str">
        <f t="shared" si="4"/>
        <v>read1_MC201_14L.fastq.gz</v>
      </c>
    </row>
    <row r="56" spans="1:14" x14ac:dyDescent="0.2">
      <c r="A56" s="1">
        <v>14</v>
      </c>
      <c r="B56" s="1" t="s">
        <v>209</v>
      </c>
      <c r="C56" s="1">
        <v>1</v>
      </c>
      <c r="D56" s="1" t="s">
        <v>209</v>
      </c>
      <c r="E56" s="1" t="s">
        <v>209</v>
      </c>
      <c r="F56" s="1" t="s">
        <v>210</v>
      </c>
      <c r="G56" s="1" t="s">
        <v>211</v>
      </c>
      <c r="J56" t="str">
        <f t="shared" si="0"/>
        <v>ControlPooled; ControlPooled; ExpID: ControlPooled; SampleNo: 1</v>
      </c>
      <c r="K56" t="str">
        <f t="shared" si="1"/>
        <v>read1_.fastq.gz.fastqsanger.gz</v>
      </c>
      <c r="L56" t="str">
        <f t="shared" si="2"/>
        <v>_ranges_copyNorm.bw</v>
      </c>
      <c r="M56" t="str">
        <f t="shared" si="3"/>
        <v>_ranges_dyadCov_spec_Zscore179.wig</v>
      </c>
      <c r="N56" t="str">
        <f t="shared" si="4"/>
        <v>read1_ControlPooled.fastq.gz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2025-09-29T07:20:14Z</dcterms:created>
  <dcterms:modified xsi:type="dcterms:W3CDTF">2026-01-21T09:22:45Z</dcterms:modified>
</cp:coreProperties>
</file>